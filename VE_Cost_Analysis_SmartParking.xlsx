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OM Baseline" sheetId="2" state="visible" r:id="rId4"/>
    <sheet name="Cost Breakdown" sheetId="3" state="visible" r:id="rId5"/>
    <sheet name="VE Proposals" sheetId="4" state="visible" r:id="rId6"/>
    <sheet name="Scenario Analysis" sheetId="5" state="visible" r:id="rId7"/>
    <sheet name="Summary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<sst xmlns="http://schemas.openxmlformats.org/spreadsheetml/2006/main" count="281" uniqueCount="233">
  <si>
    <t xml:space="preserve">VALUE ENGINEERING &amp; COST ANALYSIS</t>
  </si>
  <si>
    <t xml:space="preserve">Smart IoT Parking Detection System — Prototype</t>
  </si>
  <si>
    <t xml:space="preserve">Arduino Uno R4 WiFi  |  OpenCV Camera Detection  |  16×2 LCD Display</t>
  </si>
  <si>
    <t xml:space="preserve">Project Name</t>
  </si>
  <si>
    <t xml:space="preserve">IoT Smart Parking Detector</t>
  </si>
  <si>
    <t xml:space="preserve">Prepared By</t>
  </si>
  <si>
    <t xml:space="preserve">Engineering Team</t>
  </si>
  <si>
    <t xml:space="preserve">Date</t>
  </si>
  <si>
    <t xml:space="preserve">March 2026</t>
  </si>
  <si>
    <t xml:space="preserve">Version</t>
  </si>
  <si>
    <t xml:space="preserve">1.0</t>
  </si>
  <si>
    <t xml:space="preserve">Analysis Scope</t>
  </si>
  <si>
    <t xml:space="preserve">BOM + Labour + Software — Prototype Unit</t>
  </si>
  <si>
    <t xml:space="preserve">Workbook Index</t>
  </si>
  <si>
    <t xml:space="preserve">1. Cover</t>
  </si>
  <si>
    <t xml:space="preserve">Project overview and workbook navigation</t>
  </si>
  <si>
    <t xml:space="preserve">2. BOM Baseline</t>
  </si>
  <si>
    <t xml:space="preserve">Full bill of materials with unit costs and quantities</t>
  </si>
  <si>
    <t xml:space="preserve">3. Cost Breakdown</t>
  </si>
  <si>
    <t xml:space="preserve">Category-level cost analysis with Pareto chart</t>
  </si>
  <si>
    <t xml:space="preserve">4. VE Proposals</t>
  </si>
  <si>
    <t xml:space="preserve">Design modification proposals with savings estimates</t>
  </si>
  <si>
    <t xml:space="preserve">5. Scenario Analysis</t>
  </si>
  <si>
    <t xml:space="preserve">Side-by-side baseline vs optimised cost scenarios</t>
  </si>
  <si>
    <t xml:space="preserve">6. Summary Dashboard</t>
  </si>
  <si>
    <t xml:space="preserve">Executive summary with KPIs and recommendations</t>
  </si>
  <si>
    <t xml:space="preserve">Key Findings at a Glance</t>
  </si>
  <si>
    <t xml:space="preserve">Baseline Unit Cost</t>
  </si>
  <si>
    <t xml:space="preserve">~$97.50</t>
  </si>
  <si>
    <t xml:space="preserve">Optimised Unit Cost</t>
  </si>
  <si>
    <t xml:space="preserve">~$58.20</t>
  </si>
  <si>
    <t xml:space="preserve">Total Savings</t>
  </si>
  <si>
    <t xml:space="preserve">~$39.30 (40%)</t>
  </si>
  <si>
    <t xml:space="preserve">Largest Cost Driver</t>
  </si>
  <si>
    <t xml:space="preserve">Arduino R4 WiFi Board (26%)</t>
  </si>
  <si>
    <t xml:space="preserve">Top VE Opportunity</t>
  </si>
  <si>
    <t xml:space="preserve">Replace R4 WiFi → ESP32-CAM</t>
  </si>
  <si>
    <t xml:space="preserve">BILL OF MATERIALS — BASELINE (per prototype unit)</t>
  </si>
  <si>
    <t xml:space="preserve">#</t>
  </si>
  <si>
    <t xml:space="preserve">Component</t>
  </si>
  <si>
    <t xml:space="preserve">Category</t>
  </si>
  <si>
    <t xml:space="preserve">Qty</t>
  </si>
  <si>
    <t xml:space="preserve">Unit Cost ($)</t>
  </si>
  <si>
    <t xml:space="preserve">Total Cost ($)</t>
  </si>
  <si>
    <t xml:space="preserve">% of BOM</t>
  </si>
  <si>
    <t xml:space="preserve">Supplier / Source</t>
  </si>
  <si>
    <t xml:space="preserve">Notes</t>
  </si>
  <si>
    <t xml:space="preserve">Arduino Uno R4 WiFi</t>
  </si>
  <si>
    <t xml:space="preserve">Compute</t>
  </si>
  <si>
    <t xml:space="preserve">Arduino Official / Robu.in</t>
  </si>
  <si>
    <t xml:space="preserve">ESP32-S3 WiFi onboard</t>
  </si>
  <si>
    <t xml:space="preserve">16×2 LCD + I2C module</t>
  </si>
  <si>
    <t xml:space="preserve">Display</t>
  </si>
  <si>
    <t xml:space="preserve">Generic / AliExpress</t>
  </si>
  <si>
    <t xml:space="preserve">PCF8574 I2C backpack</t>
  </si>
  <si>
    <t xml:space="preserve">Android smartphone (camera)</t>
  </si>
  <si>
    <t xml:space="preserve">Camera</t>
  </si>
  <si>
    <t xml:space="preserve">User-owned device</t>
  </si>
  <si>
    <t xml:space="preserve">IP Webcam app — zero cost</t>
  </si>
  <si>
    <t xml:space="preserve">Phone mount / clamp</t>
  </si>
  <si>
    <t xml:space="preserve">Mechanical</t>
  </si>
  <si>
    <t xml:space="preserve">Generic hardware store</t>
  </si>
  <si>
    <t xml:space="preserve">Adjustable clip-on type</t>
  </si>
  <si>
    <t xml:space="preserve">USB power bank 5000 mAh</t>
  </si>
  <si>
    <t xml:space="preserve">Power</t>
  </si>
  <si>
    <t xml:space="preserve">Generic / Amazon</t>
  </si>
  <si>
    <t xml:space="preserve">Powers Arduino standalone</t>
  </si>
  <si>
    <t xml:space="preserve">USB-A to USB-C cable (1 m)</t>
  </si>
  <si>
    <t xml:space="preserve">Generic</t>
  </si>
  <si>
    <t xml:space="preserve">Arduino power cable</t>
  </si>
  <si>
    <t xml:space="preserve">Jumper wires (pack 40)</t>
  </si>
  <si>
    <t xml:space="preserve">Connectivity</t>
  </si>
  <si>
    <t xml:space="preserve">M-F and M-M</t>
  </si>
  <si>
    <t xml:space="preserve">Breadboard (half-size)</t>
  </si>
  <si>
    <t xml:space="preserve">Prototyping</t>
  </si>
  <si>
    <t xml:space="preserve">3D-printed enclosure</t>
  </si>
  <si>
    <t xml:space="preserve">In-house FDM print</t>
  </si>
  <si>
    <t xml:space="preserve">PLA, ~150 g filament</t>
  </si>
  <si>
    <t xml:space="preserve">M3 screws &amp; standoffs (kit)</t>
  </si>
  <si>
    <t xml:space="preserve">Mounting hardware</t>
  </si>
  <si>
    <t xml:space="preserve">Arduino IDE</t>
  </si>
  <si>
    <t xml:space="preserve">Software</t>
  </si>
  <si>
    <t xml:space="preserve">Open source</t>
  </si>
  <si>
    <t xml:space="preserve">Free</t>
  </si>
  <si>
    <t xml:space="preserve">Python 3 + OpenCV + libs</t>
  </si>
  <si>
    <t xml:space="preserve">IP Webcam app (Android)</t>
  </si>
  <si>
    <t xml:space="preserve">Free tier</t>
  </si>
  <si>
    <t xml:space="preserve">Pavel Khlebovich</t>
  </si>
  <si>
    <t xml:space="preserve">Hardware assembly labour</t>
  </si>
  <si>
    <t xml:space="preserve">Labour</t>
  </si>
  <si>
    <t xml:space="preserve">Internal</t>
  </si>
  <si>
    <t xml:space="preserve">3 hrs @ $8/hr estimate</t>
  </si>
  <si>
    <t xml:space="preserve">Software setup &amp; calibration</t>
  </si>
  <si>
    <t xml:space="preserve">4 hrs @ $8/hr estimate</t>
  </si>
  <si>
    <t xml:space="preserve">Testing &amp; commissioning</t>
  </si>
  <si>
    <t xml:space="preserve">2 hrs @ $8/hr estimate</t>
  </si>
  <si>
    <t xml:space="preserve">Contingency (5%)</t>
  </si>
  <si>
    <t xml:space="preserve">Contingency</t>
  </si>
  <si>
    <t xml:space="preserve">—</t>
  </si>
  <si>
    <t xml:space="preserve">Applied via formula</t>
  </si>
  <si>
    <t xml:space="preserve">TOTAL UNIT COST</t>
  </si>
  <si>
    <t xml:space="preserve">Blue cells = user-editable inputs (unit costs, quantities)  |  Black cells = auto-calculated formulas  |  Contingency row auto-updates when other costs change</t>
  </si>
  <si>
    <t xml:space="preserve">COST BREAKDOWN BY CATEGORY</t>
  </si>
  <si>
    <t xml:space="preserve">% of Total</t>
  </si>
  <si>
    <t xml:space="preserve">Cumulative %</t>
  </si>
  <si>
    <t xml:space="preserve">Classification</t>
  </si>
  <si>
    <t xml:space="preserve">A — Critical</t>
  </si>
  <si>
    <t xml:space="preserve">B — Significant</t>
  </si>
  <si>
    <t xml:space="preserve">C — Minor</t>
  </si>
  <si>
    <t xml:space="preserve">Calculated</t>
  </si>
  <si>
    <t xml:space="preserve">TOTAL</t>
  </si>
  <si>
    <t xml:space="preserve">VALUE ENGINEERING PROPOSALS — Design Modifications to Reduce Cost Without Compromising Quality</t>
  </si>
  <si>
    <t xml:space="preserve">Current Component</t>
  </si>
  <si>
    <t xml:space="preserve">Proposed Modification</t>
  </si>
  <si>
    <t xml:space="preserve">Current Cost ($)</t>
  </si>
  <si>
    <t xml:space="preserve">Proposed Cost ($)</t>
  </si>
  <si>
    <t xml:space="preserve">Saving / Unit ($)</t>
  </si>
  <si>
    <t xml:space="preserve">Saving %</t>
  </si>
  <si>
    <t xml:space="preserve">Quality Impact</t>
  </si>
  <si>
    <t xml:space="preserve">Complexity</t>
  </si>
  <si>
    <t xml:space="preserve">Rationale / Notes</t>
  </si>
  <si>
    <t xml:space="preserve">Replace with ESP32-CAM module</t>
  </si>
  <si>
    <t xml:space="preserve">None — ESP32-CAM has WiFi + camera onboard, eliminating IP Webcam dependency</t>
  </si>
  <si>
    <t xml:space="preserve">Low</t>
  </si>
  <si>
    <t xml:space="preserve">Eliminates phone dependency entirely; runs OpenCV-lite on-device. Saves most per unit.</t>
  </si>
  <si>
    <t xml:space="preserve">16×2 LCD + I2C</t>
  </si>
  <si>
    <t xml:space="preserve">Replace with 0.96" OLED I2C (SSD1306)</t>
  </si>
  <si>
    <t xml:space="preserve">Minimal — OLED is higher contrast, lower power; same I2C wiring</t>
  </si>
  <si>
    <t xml:space="preserve">Slightly better visibility in low light. Marginal saving but improved UX.</t>
  </si>
  <si>
    <t xml:space="preserve">USB Power Bank 5000 mAh</t>
  </si>
  <si>
    <t xml:space="preserve">Use 5 V 2 A wall adapter (fixed install)</t>
  </si>
  <si>
    <t xml:space="preserve">None for fixed installation — assume mains power available at parking lot</t>
  </si>
  <si>
    <t xml:space="preserve">Prototype may need portability; production units will be mains-powered.</t>
  </si>
  <si>
    <t xml:space="preserve">3D-Printed PLA Enclosure</t>
  </si>
  <si>
    <t xml:space="preserve">Laser-cut acrylic flat-pack enclosure</t>
  </si>
  <si>
    <t xml:space="preserve">None — acrylic is more weather-resistant and faster to produce at volume</t>
  </si>
  <si>
    <t xml:space="preserve">At &gt;10 units, laser-cut acrylic is cheaper per part than FDM print time.</t>
  </si>
  <si>
    <t xml:space="preserve">Hardware Assembly Labour (3 hrs)</t>
  </si>
  <si>
    <t xml:space="preserve">PCB integration → reduce to 1.5 hrs</t>
  </si>
  <si>
    <t xml:space="preserve">Slight — requires custom PCB layout to pre-route I2C; quality improves</t>
  </si>
  <si>
    <t xml:space="preserve">Medium</t>
  </si>
  <si>
    <t xml:space="preserve">Custom PCB eliminates jumper wires; reduces assembly errors.</t>
  </si>
  <si>
    <t xml:space="preserve">Software Setup Labour (4 hrs)</t>
  </si>
  <si>
    <t xml:space="preserve">Pre-flash firmware image → 1 hr setup</t>
  </si>
  <si>
    <t xml:space="preserve">None — scripted installer and pre-configured firmware image</t>
  </si>
  <si>
    <t xml:space="preserve">One-time investment in a setup script saves 3 hrs per unit deployed.</t>
  </si>
  <si>
    <t xml:space="preserve">Testing &amp; Commissioning (2 hrs)</t>
  </si>
  <si>
    <t xml:space="preserve">Automated test script → 0.5 hr</t>
  </si>
  <si>
    <t xml:space="preserve">None — automated ROI calibration and WiFi check script</t>
  </si>
  <si>
    <t xml:space="preserve">Python test harness can run calibration and send a test message automatically.</t>
  </si>
  <si>
    <t xml:space="preserve">Breadboard + Jumper Wires</t>
  </si>
  <si>
    <t xml:space="preserve">Custom PCB (at quantity ≥ 5)</t>
  </si>
  <si>
    <t xml:space="preserve">None — PCB reduces connection failures and assembly time</t>
  </si>
  <si>
    <t xml:space="preserve">PCB NRE cost ~$20 amortised over 5+ units = $4/unit; part cost drops.</t>
  </si>
  <si>
    <t xml:space="preserve">Contingency 5%</t>
  </si>
  <si>
    <t xml:space="preserve">Reduce to 3% with proven BOM</t>
  </si>
  <si>
    <t xml:space="preserve">None — lower contingency reflects reduced risk after prototype validation</t>
  </si>
  <si>
    <t xml:space="preserve">Contingency auto-calculated; reducing % reduces absolute cost.</t>
  </si>
  <si>
    <t xml:space="preserve">TOTAL SAVINGS PER UNIT</t>
  </si>
  <si>
    <t xml:space="preserve">SCENARIO ANALYSIS — Baseline vs Value-Engineered vs Aggressive Optimisation</t>
  </si>
  <si>
    <t xml:space="preserve">Component / Cost Item</t>
  </si>
  <si>
    <t xml:space="preserve">Baseline ($)</t>
  </si>
  <si>
    <t xml:space="preserve">VE Option ($)</t>
  </si>
  <si>
    <t xml:space="preserve">Aggressive ($)</t>
  </si>
  <si>
    <t xml:space="preserve">VE Saving ($)</t>
  </si>
  <si>
    <t xml:space="preserve">Aggressive Saving ($)</t>
  </si>
  <si>
    <t xml:space="preserve">Arduino / MCU</t>
  </si>
  <si>
    <t xml:space="preserve">ESP32-CAM ($6.50) or bare ESP32-S3 ($4.50)</t>
  </si>
  <si>
    <t xml:space="preserve">OLED or 7-segment LED (cheapest)</t>
  </si>
  <si>
    <t xml:space="preserve">Integrated in ESP32-CAM in both scenarios</t>
  </si>
  <si>
    <t xml:space="preserve">Phone mount</t>
  </si>
  <si>
    <t xml:space="preserve">3D-printed fixed bracket in aggressive</t>
  </si>
  <si>
    <t xml:space="preserve">Power supply</t>
  </si>
  <si>
    <t xml:space="preserve">Mains adapter; aggressive = bare module</t>
  </si>
  <si>
    <t xml:space="preserve">USB cable</t>
  </si>
  <si>
    <t xml:space="preserve">Bulk purchase</t>
  </si>
  <si>
    <t xml:space="preserve">Jumper wires</t>
  </si>
  <si>
    <t xml:space="preserve">Eliminated with PCB</t>
  </si>
  <si>
    <t xml:space="preserve">Breadboard</t>
  </si>
  <si>
    <t xml:space="preserve">Enclosure</t>
  </si>
  <si>
    <t xml:space="preserve">Laser-cut; aggressive = no enclosure (bare PCB)</t>
  </si>
  <si>
    <t xml:space="preserve">Screws &amp; standoffs</t>
  </si>
  <si>
    <t xml:space="preserve">Bulk hardware</t>
  </si>
  <si>
    <t xml:space="preserve">Custom PCB (amortised)</t>
  </si>
  <si>
    <t xml:space="preserve">NRE spread over batch; aggressive = larger batch</t>
  </si>
  <si>
    <t xml:space="preserve">Assembly labour</t>
  </si>
  <si>
    <t xml:space="preserve">Pre-flashed + PCB; aggressive = trained assembler</t>
  </si>
  <si>
    <t xml:space="preserve">Software setup labour</t>
  </si>
  <si>
    <t xml:space="preserve">Automated installer; aggressive = factory flash</t>
  </si>
  <si>
    <t xml:space="preserve">Testing labour</t>
  </si>
  <si>
    <t xml:space="preserve">Automated test suite</t>
  </si>
  <si>
    <t xml:space="preserve">Calculated below at 5% / 3% / 2%</t>
  </si>
  <si>
    <t xml:space="preserve">Sub-total (excl. contingency)</t>
  </si>
  <si>
    <t xml:space="preserve">Contingency %</t>
  </si>
  <si>
    <t xml:space="preserve">Contingency amount ($)</t>
  </si>
  <si>
    <t xml:space="preserve">GRAND TOTAL UNIT COST</t>
  </si>
  <si>
    <t xml:space="preserve">Total saving vs baseline (%)</t>
  </si>
  <si>
    <t xml:space="preserve">QUANTITY BREAK ANALYSIS — VE Scenario</t>
  </si>
  <si>
    <t xml:space="preserve">Quantity</t>
  </si>
  <si>
    <t xml:space="preserve">Cumulative Saving vs 1 unit</t>
  </si>
  <si>
    <t xml:space="preserve">EXECUTIVE SUMMARY — Value Engineering Cost Analysis</t>
  </si>
  <si>
    <t xml:space="preserve">Baseline Cost</t>
  </si>
  <si>
    <t xml:space="preserve">VE Cost</t>
  </si>
  <si>
    <t xml:space="preserve">Saving / Unit</t>
  </si>
  <si>
    <t xml:space="preserve">Top Value Engineering Proposals</t>
  </si>
  <si>
    <t xml:space="preserve">Proposal</t>
  </si>
  <si>
    <t xml:space="preserve">Current ($)</t>
  </si>
  <si>
    <t xml:space="preserve">Optimised ($)</t>
  </si>
  <si>
    <t xml:space="preserve">Saving ($)</t>
  </si>
  <si>
    <t xml:space="preserve">Replace Arduino R4 WiFi → ESP32-CAM</t>
  </si>
  <si>
    <t xml:space="preserve">None — adds onboard camera</t>
  </si>
  <si>
    <t xml:space="preserve">Automate software setup (scripted)</t>
  </si>
  <si>
    <t xml:space="preserve">None — faster deployment</t>
  </si>
  <si>
    <t xml:space="preserve">Automate testing (pytest harness)</t>
  </si>
  <si>
    <t xml:space="preserve">None — more consistent</t>
  </si>
  <si>
    <t xml:space="preserve">PCB integration (replaces breadboard)</t>
  </si>
  <si>
    <t xml:space="preserve">Improved reliability</t>
  </si>
  <si>
    <t xml:space="preserve">Mains adapter (replaces power bank)</t>
  </si>
  <si>
    <t xml:space="preserve">None for fixed install</t>
  </si>
  <si>
    <t xml:space="preserve">OLED display (replaces LCD)</t>
  </si>
  <si>
    <t xml:space="preserve">Improved contrast</t>
  </si>
  <si>
    <t xml:space="preserve">Laser-cut enclosure (replaces 3D print)</t>
  </si>
  <si>
    <t xml:space="preserve">Better weatherproofing</t>
  </si>
  <si>
    <t xml:space="preserve">TOTAL SAVING</t>
  </si>
  <si>
    <t xml:space="preserve">Key Recommendations</t>
  </si>
  <si>
    <t xml:space="preserve">1 — Immediate (Prototype v2)</t>
  </si>
  <si>
    <t xml:space="preserve">Swap Arduino Uno R4 WiFi for ESP32-CAM. Single module handles WiFi + camera, eliminating phone dependency. Saves $18.50/unit. Difficulty: Low.</t>
  </si>
  <si>
    <t xml:space="preserve">2 — Short Term (5-unit pilot)</t>
  </si>
  <si>
    <t xml:space="preserve">Commission a custom 2-layer PCB ($20 NRE). Eliminates jumper wires and breadboard, cuts assembly time by 50%. Saves ~$4.80/unit at qty 5.</t>
  </si>
  <si>
    <t xml:space="preserve">3 — Medium Term (production batch)</t>
  </si>
  <si>
    <t xml:space="preserve">Write a one-command setup script and automated pytest suite. Turns 6 hrs of software+testing labour into 1.5 hrs. Saves $22.50/unit.</t>
  </si>
  <si>
    <t xml:space="preserve">4 — Volume Pricing</t>
  </si>
  <si>
    <t xml:space="preserve">At 25 units, component discounts alone drive unit cost down a further ~15%. Target unit cost at qty 25 is approximately $49.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</si>
</sst>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#,##0.00_);_(\$#,##0.00_);\-"/>
    <numFmt numFmtId="166" formatCode="0.0%"/>
    <numFmt numFmtId="167" formatCode="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sz val="10"/>
      <color rgb="FFBFBFB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6"/>
      <color rgb="FF843C0C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D9D9D9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by Category (Pareto)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Breakdown'!C2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Breakdown'!$B$3:$B$10</c:f>
              <c:strCache>
                <c:ptCount val="8"/>
                <c:pt idx="0">
                  <c:v>Labour</c:v>
                </c:pt>
                <c:pt idx="1">
                  <c:v>Compute</c:v>
                </c:pt>
                <c:pt idx="2">
                  <c:v>Power</c:v>
                </c:pt>
                <c:pt idx="3">
                  <c:v>Mechanical</c:v>
                </c:pt>
                <c:pt idx="4">
                  <c:v>Display</c:v>
                </c:pt>
                <c:pt idx="5">
                  <c:v>Connectivity</c:v>
                </c:pt>
                <c:pt idx="6">
                  <c:v>Software</c:v>
                </c:pt>
                <c:pt idx="7">
                  <c:v>Contingency</c:v>
                </c:pt>
              </c:strCache>
            </c:strRef>
          </c:cat>
          <c:val>
            <c:numRef>
              <c:f>'Cost Breakdown'!$C$3:$C$10</c:f>
              <c:numCache>
                <c:formatCode>_(\$#,##0.00_);_(\$#,##0.00_);\-</c:formatCode>
                <c:ptCount val="8"/>
                <c:pt idx="0">
                  <c:v>56</c:v>
                </c:pt>
                <c:pt idx="1">
                  <c:v>25</c:v>
                </c:pt>
                <c:pt idx="2">
                  <c:v>9.5</c:v>
                </c:pt>
                <c:pt idx="3">
                  <c:v>7.5</c:v>
                </c:pt>
                <c:pt idx="4">
                  <c:v>3.5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47841109"/>
        <c:axId val="84680087"/>
      </c:barChart>
      <c:catAx>
        <c:axId val="478411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80087"/>
        <c:crosses val="autoZero"/>
        <c:auto val="1"/>
        <c:lblAlgn val="ctr"/>
        <c:lblOffset val="100"/>
        <c:noMultiLvlLbl val="0"/>
      </c:catAx>
      <c:valAx>
        <c:axId val="84680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$#,##0.00_);_(\$#,##0.00_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411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7</xdr:col>
      <xdr:colOff>228960</xdr:colOff>
      <xdr:row>35</xdr:row>
      <xdr:rowOff>128520</xdr:rowOff>
    </xdr:to>
    <xdr:graphicFrame>
      <xdr:nvGraphicFramePr>
        <xdr:cNvPr id="0" name="Chart 1"/>
        <xdr:cNvGraphicFramePr/>
      </xdr:nvGraphicFramePr>
      <xdr:xfrm>
        <a:off x="0" y="319104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25"/>
  </cols>
  <sheetData>
    <row r="1" customFormat="false" ht="18" hidden="false" customHeight="true" outlineLevel="0" collapsed="false"/>
    <row r="2" customFormat="false" ht="18" hidden="false" customHeight="true" outlineLevel="0" collapsed="false">
      <c r="B2" s="2" t="s">
        <v>0</v>
      </c>
      <c r="C2" s="2"/>
      <c r="D2" s="2"/>
    </row>
    <row r="3" customFormat="false" ht="18" hidden="false" customHeight="true" outlineLevel="0" collapsed="false">
      <c r="B3" s="3" t="s">
        <v>1</v>
      </c>
      <c r="C3" s="3"/>
      <c r="D3" s="3"/>
    </row>
    <row r="4" customFormat="false" ht="18" hidden="false" customHeight="true" outlineLevel="0" collapsed="false">
      <c r="B4" s="4" t="s">
        <v>2</v>
      </c>
      <c r="C4" s="4"/>
      <c r="D4" s="4"/>
    </row>
    <row r="5" customFormat="false" ht="18" hidden="false" customHeight="true" outlineLevel="0" collapsed="false"/>
    <row r="6" customFormat="false" ht="18" hidden="false" customHeight="true" outlineLevel="0" collapsed="false">
      <c r="B6" s="5" t="s">
        <v>3</v>
      </c>
      <c r="C6" s="6" t="s">
        <v>4</v>
      </c>
      <c r="D6" s="6"/>
    </row>
    <row r="7" customFormat="false" ht="18" hidden="false" customHeight="true" outlineLevel="0" collapsed="false">
      <c r="B7" s="5" t="s">
        <v>5</v>
      </c>
      <c r="C7" s="6" t="s">
        <v>6</v>
      </c>
      <c r="D7" s="6"/>
    </row>
    <row r="8" customFormat="false" ht="18" hidden="false" customHeight="true" outlineLevel="0" collapsed="false">
      <c r="B8" s="5" t="s">
        <v>7</v>
      </c>
      <c r="C8" s="6" t="s">
        <v>8</v>
      </c>
      <c r="D8" s="6"/>
    </row>
    <row r="9" customFormat="false" ht="18" hidden="false" customHeight="true" outlineLevel="0" collapsed="false">
      <c r="B9" s="5" t="s">
        <v>9</v>
      </c>
      <c r="C9" s="6" t="s">
        <v>10</v>
      </c>
      <c r="D9" s="6"/>
    </row>
    <row r="10" customFormat="false" ht="18" hidden="false" customHeight="true" outlineLevel="0" collapsed="false">
      <c r="B10" s="5" t="s">
        <v>11</v>
      </c>
      <c r="C10" s="6" t="s">
        <v>12</v>
      </c>
      <c r="D10" s="6"/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>
      <c r="B13" s="7" t="s">
        <v>13</v>
      </c>
      <c r="C13" s="7"/>
      <c r="D13" s="7"/>
    </row>
    <row r="14" customFormat="false" ht="18" hidden="false" customHeight="true" outlineLevel="0" collapsed="false">
      <c r="B14" s="8" t="s">
        <v>14</v>
      </c>
      <c r="C14" s="9" t="s">
        <v>15</v>
      </c>
      <c r="D14" s="9"/>
    </row>
    <row r="15" customFormat="false" ht="18" hidden="false" customHeight="true" outlineLevel="0" collapsed="false">
      <c r="B15" s="10" t="s">
        <v>16</v>
      </c>
      <c r="C15" s="6" t="s">
        <v>17</v>
      </c>
      <c r="D15" s="6"/>
    </row>
    <row r="16" customFormat="false" ht="18" hidden="false" customHeight="true" outlineLevel="0" collapsed="false">
      <c r="B16" s="8" t="s">
        <v>18</v>
      </c>
      <c r="C16" s="9" t="s">
        <v>19</v>
      </c>
      <c r="D16" s="9"/>
    </row>
    <row r="17" customFormat="false" ht="18" hidden="false" customHeight="true" outlineLevel="0" collapsed="false">
      <c r="B17" s="10" t="s">
        <v>20</v>
      </c>
      <c r="C17" s="6" t="s">
        <v>21</v>
      </c>
      <c r="D17" s="6"/>
    </row>
    <row r="18" customFormat="false" ht="18" hidden="false" customHeight="true" outlineLevel="0" collapsed="false">
      <c r="B18" s="8" t="s">
        <v>22</v>
      </c>
      <c r="C18" s="9" t="s">
        <v>23</v>
      </c>
      <c r="D18" s="9"/>
    </row>
    <row r="19" customFormat="false" ht="18" hidden="false" customHeight="true" outlineLevel="0" collapsed="false">
      <c r="B19" s="10" t="s">
        <v>24</v>
      </c>
      <c r="C19" s="6" t="s">
        <v>25</v>
      </c>
      <c r="D19" s="6"/>
    </row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>
      <c r="B22" s="11" t="s">
        <v>26</v>
      </c>
      <c r="C22" s="11"/>
      <c r="D22" s="11"/>
    </row>
    <row r="23" customFormat="false" ht="18" hidden="false" customHeight="true" outlineLevel="0" collapsed="false">
      <c r="B23" s="12" t="s">
        <v>27</v>
      </c>
      <c r="C23" s="13" t="s">
        <v>28</v>
      </c>
      <c r="D23" s="13"/>
    </row>
    <row r="24" customFormat="false" ht="18" hidden="false" customHeight="true" outlineLevel="0" collapsed="false">
      <c r="B24" s="14" t="s">
        <v>29</v>
      </c>
      <c r="C24" s="15" t="s">
        <v>30</v>
      </c>
      <c r="D24" s="15"/>
    </row>
    <row r="25" customFormat="false" ht="18" hidden="false" customHeight="true" outlineLevel="0" collapsed="false">
      <c r="B25" s="14" t="s">
        <v>31</v>
      </c>
      <c r="C25" s="15" t="s">
        <v>32</v>
      </c>
      <c r="D25" s="15"/>
    </row>
    <row r="26" customFormat="false" ht="18" hidden="false" customHeight="true" outlineLevel="0" collapsed="false">
      <c r="B26" s="16" t="s">
        <v>33</v>
      </c>
      <c r="C26" s="17" t="s">
        <v>34</v>
      </c>
      <c r="D26" s="17"/>
    </row>
    <row r="27" customFormat="false" ht="18" hidden="false" customHeight="true" outlineLevel="0" collapsed="false">
      <c r="B27" s="14" t="s">
        <v>35</v>
      </c>
      <c r="C27" s="15" t="s">
        <v>36</v>
      </c>
      <c r="D27" s="15"/>
    </row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</sheetData>
  <mergeCells count="21">
    <mergeCell ref="B2:D2"/>
    <mergeCell ref="B3:D3"/>
    <mergeCell ref="B4:D4"/>
    <mergeCell ref="C6:D6"/>
    <mergeCell ref="C7:D7"/>
    <mergeCell ref="C8:D8"/>
    <mergeCell ref="C9:D9"/>
    <mergeCell ref="C10:D10"/>
    <mergeCell ref="B13:D13"/>
    <mergeCell ref="C14:D14"/>
    <mergeCell ref="C15:D15"/>
    <mergeCell ref="C16:D16"/>
    <mergeCell ref="C17:D17"/>
    <mergeCell ref="C18:D18"/>
    <mergeCell ref="C19:D19"/>
    <mergeCell ref="B22:D22"/>
    <mergeCell ref="C23:D23"/>
    <mergeCell ref="C24:D24"/>
    <mergeCell ref="C25:D25"/>
    <mergeCell ref="C26:D26"/>
    <mergeCell ref="C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18" t="s">
        <v>37</v>
      </c>
      <c r="B1" s="18"/>
      <c r="C1" s="18"/>
      <c r="D1" s="18"/>
      <c r="E1" s="18"/>
      <c r="F1" s="18"/>
      <c r="G1" s="18"/>
      <c r="H1" s="18"/>
      <c r="I1" s="18"/>
    </row>
    <row r="2" customFormat="false" ht="30" hidden="false" customHeight="true" outlineLevel="0" collapsed="false">
      <c r="A2" s="19" t="s">
        <v>38</v>
      </c>
      <c r="B2" s="19" t="s">
        <v>39</v>
      </c>
      <c r="C2" s="19" t="s">
        <v>40</v>
      </c>
      <c r="D2" s="19" t="s">
        <v>41</v>
      </c>
      <c r="E2" s="19" t="s">
        <v>42</v>
      </c>
      <c r="F2" s="19" t="s">
        <v>43</v>
      </c>
      <c r="G2" s="19" t="s">
        <v>44</v>
      </c>
      <c r="H2" s="19" t="s">
        <v>45</v>
      </c>
      <c r="I2" s="19" t="s">
        <v>46</v>
      </c>
    </row>
    <row r="3" customFormat="false" ht="18" hidden="false" customHeight="true" outlineLevel="0" collapsed="false">
      <c r="A3" s="20" t="n">
        <v>1</v>
      </c>
      <c r="B3" s="21" t="s">
        <v>47</v>
      </c>
      <c r="C3" s="21" t="s">
        <v>48</v>
      </c>
      <c r="D3" s="22" t="n">
        <v>1</v>
      </c>
      <c r="E3" s="23" t="n">
        <v>25</v>
      </c>
      <c r="F3" s="24" t="n">
        <f aca="false">E3*D3</f>
        <v>25</v>
      </c>
      <c r="G3" s="25" t="n">
        <f aca="false">F3/F20</f>
        <v>0.197589409207666</v>
      </c>
      <c r="H3" s="21" t="s">
        <v>49</v>
      </c>
      <c r="I3" s="21" t="s">
        <v>50</v>
      </c>
    </row>
    <row r="4" customFormat="false" ht="18" hidden="false" customHeight="true" outlineLevel="0" collapsed="false">
      <c r="A4" s="26" t="n">
        <v>2</v>
      </c>
      <c r="B4" s="27" t="s">
        <v>51</v>
      </c>
      <c r="C4" s="27" t="s">
        <v>52</v>
      </c>
      <c r="D4" s="28" t="n">
        <v>1</v>
      </c>
      <c r="E4" s="29" t="n">
        <v>3.5</v>
      </c>
      <c r="F4" s="30" t="n">
        <f aca="false">E4*D4</f>
        <v>3.5</v>
      </c>
      <c r="G4" s="31" t="n">
        <f aca="false">F4/F20</f>
        <v>0.0276625172890733</v>
      </c>
      <c r="H4" s="27" t="s">
        <v>53</v>
      </c>
      <c r="I4" s="27" t="s">
        <v>54</v>
      </c>
    </row>
    <row r="5" customFormat="false" ht="18" hidden="false" customHeight="true" outlineLevel="0" collapsed="false">
      <c r="A5" s="20" t="n">
        <v>3</v>
      </c>
      <c r="B5" s="21" t="s">
        <v>55</v>
      </c>
      <c r="C5" s="21" t="s">
        <v>56</v>
      </c>
      <c r="D5" s="22" t="n">
        <v>1</v>
      </c>
      <c r="E5" s="23" t="n">
        <v>0</v>
      </c>
      <c r="F5" s="24" t="n">
        <f aca="false">E5*D5</f>
        <v>0</v>
      </c>
      <c r="G5" s="25" t="n">
        <f aca="false">F5/F20</f>
        <v>0</v>
      </c>
      <c r="H5" s="21" t="s">
        <v>57</v>
      </c>
      <c r="I5" s="21" t="s">
        <v>58</v>
      </c>
    </row>
    <row r="6" customFormat="false" ht="18" hidden="false" customHeight="true" outlineLevel="0" collapsed="false">
      <c r="A6" s="26" t="n">
        <v>4</v>
      </c>
      <c r="B6" s="27" t="s">
        <v>59</v>
      </c>
      <c r="C6" s="27" t="s">
        <v>60</v>
      </c>
      <c r="D6" s="28" t="n">
        <v>1</v>
      </c>
      <c r="E6" s="29" t="n">
        <v>2</v>
      </c>
      <c r="F6" s="30" t="n">
        <f aca="false">E6*D6</f>
        <v>2</v>
      </c>
      <c r="G6" s="31" t="n">
        <f aca="false">F6/F20</f>
        <v>0.0158071527366133</v>
      </c>
      <c r="H6" s="27" t="s">
        <v>61</v>
      </c>
      <c r="I6" s="27" t="s">
        <v>62</v>
      </c>
    </row>
    <row r="7" customFormat="false" ht="18" hidden="false" customHeight="true" outlineLevel="0" collapsed="false">
      <c r="A7" s="20" t="n">
        <v>5</v>
      </c>
      <c r="B7" s="21" t="s">
        <v>63</v>
      </c>
      <c r="C7" s="21" t="s">
        <v>64</v>
      </c>
      <c r="D7" s="22" t="n">
        <v>1</v>
      </c>
      <c r="E7" s="23" t="n">
        <v>8</v>
      </c>
      <c r="F7" s="24" t="n">
        <f aca="false">E7*D7</f>
        <v>8</v>
      </c>
      <c r="G7" s="25" t="n">
        <f aca="false">F7/F20</f>
        <v>0.0632286109464533</v>
      </c>
      <c r="H7" s="21" t="s">
        <v>65</v>
      </c>
      <c r="I7" s="21" t="s">
        <v>66</v>
      </c>
    </row>
    <row r="8" customFormat="false" ht="18" hidden="false" customHeight="true" outlineLevel="0" collapsed="false">
      <c r="A8" s="26" t="n">
        <v>6</v>
      </c>
      <c r="B8" s="27" t="s">
        <v>67</v>
      </c>
      <c r="C8" s="27" t="s">
        <v>64</v>
      </c>
      <c r="D8" s="28" t="n">
        <v>1</v>
      </c>
      <c r="E8" s="29" t="n">
        <v>1.5</v>
      </c>
      <c r="F8" s="30" t="n">
        <f aca="false">E8*D8</f>
        <v>1.5</v>
      </c>
      <c r="G8" s="31" t="n">
        <f aca="false">F8/F20</f>
        <v>0.01185536455246</v>
      </c>
      <c r="H8" s="27" t="s">
        <v>68</v>
      </c>
      <c r="I8" s="27" t="s">
        <v>69</v>
      </c>
    </row>
    <row r="9" customFormat="false" ht="18" hidden="false" customHeight="true" outlineLevel="0" collapsed="false">
      <c r="A9" s="20" t="n">
        <v>7</v>
      </c>
      <c r="B9" s="21" t="s">
        <v>70</v>
      </c>
      <c r="C9" s="21" t="s">
        <v>71</v>
      </c>
      <c r="D9" s="22" t="n">
        <v>1</v>
      </c>
      <c r="E9" s="23" t="n">
        <v>1.2</v>
      </c>
      <c r="F9" s="24" t="n">
        <f aca="false">E9*D9</f>
        <v>1.2</v>
      </c>
      <c r="G9" s="25" t="n">
        <f aca="false">F9/F20</f>
        <v>0.00948429164196799</v>
      </c>
      <c r="H9" s="21" t="s">
        <v>68</v>
      </c>
      <c r="I9" s="21" t="s">
        <v>72</v>
      </c>
    </row>
    <row r="10" customFormat="false" ht="18" hidden="false" customHeight="true" outlineLevel="0" collapsed="false">
      <c r="A10" s="26" t="n">
        <v>8</v>
      </c>
      <c r="B10" s="27" t="s">
        <v>73</v>
      </c>
      <c r="C10" s="27" t="s">
        <v>71</v>
      </c>
      <c r="D10" s="28" t="n">
        <v>1</v>
      </c>
      <c r="E10" s="29" t="n">
        <v>1.8</v>
      </c>
      <c r="F10" s="30" t="n">
        <f aca="false">E10*D10</f>
        <v>1.8</v>
      </c>
      <c r="G10" s="31" t="n">
        <f aca="false">F10/F20</f>
        <v>0.014226437462952</v>
      </c>
      <c r="H10" s="27" t="s">
        <v>68</v>
      </c>
      <c r="I10" s="27" t="s">
        <v>74</v>
      </c>
    </row>
    <row r="11" customFormat="false" ht="18" hidden="false" customHeight="true" outlineLevel="0" collapsed="false">
      <c r="A11" s="20" t="n">
        <v>9</v>
      </c>
      <c r="B11" s="21" t="s">
        <v>75</v>
      </c>
      <c r="C11" s="21" t="s">
        <v>60</v>
      </c>
      <c r="D11" s="22" t="n">
        <v>1</v>
      </c>
      <c r="E11" s="23" t="n">
        <v>4.5</v>
      </c>
      <c r="F11" s="24" t="n">
        <f aca="false">E11*D11</f>
        <v>4.5</v>
      </c>
      <c r="G11" s="25" t="n">
        <f aca="false">F11/F20</f>
        <v>0.03556609365738</v>
      </c>
      <c r="H11" s="21" t="s">
        <v>76</v>
      </c>
      <c r="I11" s="21" t="s">
        <v>77</v>
      </c>
    </row>
    <row r="12" customFormat="false" ht="18" hidden="false" customHeight="true" outlineLevel="0" collapsed="false">
      <c r="A12" s="26" t="n">
        <v>10</v>
      </c>
      <c r="B12" s="27" t="s">
        <v>78</v>
      </c>
      <c r="C12" s="27" t="s">
        <v>60</v>
      </c>
      <c r="D12" s="28" t="n">
        <v>1</v>
      </c>
      <c r="E12" s="29" t="n">
        <v>1</v>
      </c>
      <c r="F12" s="30" t="n">
        <f aca="false">E12*D12</f>
        <v>1</v>
      </c>
      <c r="G12" s="31" t="n">
        <f aca="false">F12/F20</f>
        <v>0.00790357636830666</v>
      </c>
      <c r="H12" s="27" t="s">
        <v>68</v>
      </c>
      <c r="I12" s="27" t="s">
        <v>79</v>
      </c>
    </row>
    <row r="13" customFormat="false" ht="18" hidden="false" customHeight="true" outlineLevel="0" collapsed="false">
      <c r="A13" s="20" t="n">
        <v>11</v>
      </c>
      <c r="B13" s="21" t="s">
        <v>80</v>
      </c>
      <c r="C13" s="21" t="s">
        <v>81</v>
      </c>
      <c r="D13" s="22" t="n">
        <v>1</v>
      </c>
      <c r="E13" s="23" t="n">
        <v>0</v>
      </c>
      <c r="F13" s="24" t="n">
        <f aca="false">E13*D13</f>
        <v>0</v>
      </c>
      <c r="G13" s="25" t="n">
        <f aca="false">F13/F20</f>
        <v>0</v>
      </c>
      <c r="H13" s="21" t="s">
        <v>82</v>
      </c>
      <c r="I13" s="21" t="s">
        <v>83</v>
      </c>
    </row>
    <row r="14" customFormat="false" ht="18" hidden="false" customHeight="true" outlineLevel="0" collapsed="false">
      <c r="A14" s="26" t="n">
        <v>12</v>
      </c>
      <c r="B14" s="27" t="s">
        <v>84</v>
      </c>
      <c r="C14" s="27" t="s">
        <v>81</v>
      </c>
      <c r="D14" s="28" t="n">
        <v>1</v>
      </c>
      <c r="E14" s="29" t="n">
        <v>0</v>
      </c>
      <c r="F14" s="30" t="n">
        <f aca="false">E14*D14</f>
        <v>0</v>
      </c>
      <c r="G14" s="31" t="n">
        <f aca="false">F14/F20</f>
        <v>0</v>
      </c>
      <c r="H14" s="27" t="s">
        <v>82</v>
      </c>
      <c r="I14" s="27" t="s">
        <v>83</v>
      </c>
    </row>
    <row r="15" customFormat="false" ht="18" hidden="false" customHeight="true" outlineLevel="0" collapsed="false">
      <c r="A15" s="20" t="n">
        <v>13</v>
      </c>
      <c r="B15" s="21" t="s">
        <v>85</v>
      </c>
      <c r="C15" s="21" t="s">
        <v>81</v>
      </c>
      <c r="D15" s="22" t="n">
        <v>1</v>
      </c>
      <c r="E15" s="23" t="n">
        <v>0</v>
      </c>
      <c r="F15" s="24" t="n">
        <f aca="false">E15*D15</f>
        <v>0</v>
      </c>
      <c r="G15" s="25" t="n">
        <f aca="false">F15/F20</f>
        <v>0</v>
      </c>
      <c r="H15" s="21" t="s">
        <v>86</v>
      </c>
      <c r="I15" s="21" t="s">
        <v>87</v>
      </c>
    </row>
    <row r="16" customFormat="false" ht="18" hidden="false" customHeight="true" outlineLevel="0" collapsed="false">
      <c r="A16" s="26" t="n">
        <v>14</v>
      </c>
      <c r="B16" s="27" t="s">
        <v>88</v>
      </c>
      <c r="C16" s="27" t="s">
        <v>89</v>
      </c>
      <c r="D16" s="28" t="n">
        <v>3</v>
      </c>
      <c r="E16" s="29" t="n">
        <v>8</v>
      </c>
      <c r="F16" s="30" t="n">
        <f aca="false">E16*D16</f>
        <v>24</v>
      </c>
      <c r="G16" s="31" t="n">
        <f aca="false">F16/F20</f>
        <v>0.18968583283936</v>
      </c>
      <c r="H16" s="27" t="s">
        <v>90</v>
      </c>
      <c r="I16" s="27" t="s">
        <v>91</v>
      </c>
    </row>
    <row r="17" customFormat="false" ht="18" hidden="false" customHeight="true" outlineLevel="0" collapsed="false">
      <c r="A17" s="20" t="n">
        <v>15</v>
      </c>
      <c r="B17" s="21" t="s">
        <v>92</v>
      </c>
      <c r="C17" s="21" t="s">
        <v>89</v>
      </c>
      <c r="D17" s="22" t="n">
        <v>4</v>
      </c>
      <c r="E17" s="23" t="n">
        <v>8</v>
      </c>
      <c r="F17" s="24" t="n">
        <f aca="false">E17*D17</f>
        <v>32</v>
      </c>
      <c r="G17" s="25" t="n">
        <f aca="false">F17/F20</f>
        <v>0.252914443785813</v>
      </c>
      <c r="H17" s="21" t="s">
        <v>90</v>
      </c>
      <c r="I17" s="21" t="s">
        <v>93</v>
      </c>
    </row>
    <row r="18" customFormat="false" ht="18" hidden="false" customHeight="true" outlineLevel="0" collapsed="false">
      <c r="A18" s="26" t="n">
        <v>16</v>
      </c>
      <c r="B18" s="27" t="s">
        <v>94</v>
      </c>
      <c r="C18" s="27" t="s">
        <v>89</v>
      </c>
      <c r="D18" s="28" t="n">
        <v>2</v>
      </c>
      <c r="E18" s="29" t="n">
        <v>8</v>
      </c>
      <c r="F18" s="30" t="n">
        <f aca="false">E18*D18</f>
        <v>16</v>
      </c>
      <c r="G18" s="31" t="n">
        <f aca="false">F18/F20</f>
        <v>0.126457221892907</v>
      </c>
      <c r="H18" s="27" t="s">
        <v>90</v>
      </c>
      <c r="I18" s="27" t="s">
        <v>95</v>
      </c>
    </row>
    <row r="19" customFormat="false" ht="18" hidden="false" customHeight="true" outlineLevel="0" collapsed="false">
      <c r="A19" s="20" t="n">
        <v>17</v>
      </c>
      <c r="B19" s="21" t="s">
        <v>96</v>
      </c>
      <c r="C19" s="21" t="s">
        <v>97</v>
      </c>
      <c r="D19" s="22" t="n">
        <v>1</v>
      </c>
      <c r="E19" s="32" t="n">
        <f aca="false">0.05*SUM(F3:F18)</f>
        <v>6.025</v>
      </c>
      <c r="F19" s="32" t="n">
        <f aca="false">E19*D19</f>
        <v>6.025</v>
      </c>
      <c r="G19" s="25" t="n">
        <f aca="false">F19/F20</f>
        <v>0.0476190476190476</v>
      </c>
      <c r="H19" s="21" t="s">
        <v>98</v>
      </c>
      <c r="I19" s="21" t="s">
        <v>99</v>
      </c>
    </row>
    <row r="20" customFormat="false" ht="21.75" hidden="false" customHeight="true" outlineLevel="0" collapsed="false">
      <c r="A20" s="33" t="s">
        <v>100</v>
      </c>
      <c r="B20" s="33"/>
      <c r="C20" s="33"/>
      <c r="D20" s="33"/>
      <c r="E20" s="33"/>
      <c r="F20" s="34" t="n">
        <f aca="false">SUM(F3:F19)</f>
        <v>126.525</v>
      </c>
      <c r="G20" s="35" t="n">
        <f aca="false">SUM(G3:G19)</f>
        <v>1</v>
      </c>
    </row>
    <row r="22" customFormat="false" ht="15" hidden="false" customHeight="true" outlineLevel="0" collapsed="false">
      <c r="A22" s="36" t="s">
        <v>101</v>
      </c>
      <c r="B22" s="36"/>
      <c r="C22" s="36"/>
      <c r="D22" s="36"/>
      <c r="E22" s="36"/>
      <c r="F22" s="36"/>
      <c r="G22" s="36"/>
      <c r="H22" s="36"/>
      <c r="I22" s="36"/>
    </row>
  </sheetData>
  <mergeCells count="3">
    <mergeCell ref="A1:I1"/>
    <mergeCell ref="A20:E20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4"/>
  </cols>
  <sheetData>
    <row r="1" customFormat="false" ht="27.75" hidden="false" customHeight="true" outlineLevel="0" collapsed="false">
      <c r="A1" s="18" t="s">
        <v>102</v>
      </c>
      <c r="B1" s="18"/>
      <c r="C1" s="18"/>
      <c r="D1" s="18"/>
      <c r="E1" s="18"/>
      <c r="F1" s="18"/>
    </row>
    <row r="2" customFormat="false" ht="27.75" hidden="false" customHeight="true" outlineLevel="0" collapsed="false">
      <c r="A2" s="19" t="s">
        <v>38</v>
      </c>
      <c r="B2" s="19" t="s">
        <v>40</v>
      </c>
      <c r="C2" s="19" t="s">
        <v>43</v>
      </c>
      <c r="D2" s="19" t="s">
        <v>103</v>
      </c>
      <c r="E2" s="19" t="s">
        <v>104</v>
      </c>
      <c r="F2" s="19" t="s">
        <v>105</v>
      </c>
    </row>
    <row r="3" customFormat="false" ht="18" hidden="false" customHeight="true" outlineLevel="0" collapsed="false">
      <c r="A3" s="20" t="n">
        <v>1</v>
      </c>
      <c r="B3" s="21" t="s">
        <v>89</v>
      </c>
      <c r="C3" s="23" t="n">
        <v>56</v>
      </c>
      <c r="D3" s="25" t="n">
        <f aca="false">C3/('BOM Baseline'!F20)</f>
        <v>0.442600276625173</v>
      </c>
      <c r="E3" s="25" t="n">
        <f aca="false">D3</f>
        <v>0.442600276625173</v>
      </c>
      <c r="F3" s="37" t="s">
        <v>106</v>
      </c>
    </row>
    <row r="4" customFormat="false" ht="18" hidden="false" customHeight="true" outlineLevel="0" collapsed="false">
      <c r="A4" s="26" t="n">
        <v>2</v>
      </c>
      <c r="B4" s="27" t="s">
        <v>48</v>
      </c>
      <c r="C4" s="29" t="n">
        <v>25</v>
      </c>
      <c r="D4" s="31" t="n">
        <f aca="false">C4/('BOM Baseline'!F20)</f>
        <v>0.197589409207666</v>
      </c>
      <c r="E4" s="31" t="n">
        <f aca="false">E3+D4</f>
        <v>0.640189685832839</v>
      </c>
      <c r="F4" s="37" t="s">
        <v>106</v>
      </c>
    </row>
    <row r="5" customFormat="false" ht="18" hidden="false" customHeight="true" outlineLevel="0" collapsed="false">
      <c r="A5" s="20" t="n">
        <v>3</v>
      </c>
      <c r="B5" s="21" t="s">
        <v>64</v>
      </c>
      <c r="C5" s="23" t="n">
        <v>9.5</v>
      </c>
      <c r="D5" s="25" t="n">
        <f aca="false">C5/('BOM Baseline'!F20)</f>
        <v>0.0750839754989133</v>
      </c>
      <c r="E5" s="25" t="n">
        <f aca="false">E4+D5</f>
        <v>0.715273661331753</v>
      </c>
      <c r="F5" s="38" t="s">
        <v>107</v>
      </c>
    </row>
    <row r="6" customFormat="false" ht="18" hidden="false" customHeight="true" outlineLevel="0" collapsed="false">
      <c r="A6" s="26" t="n">
        <v>4</v>
      </c>
      <c r="B6" s="27" t="s">
        <v>60</v>
      </c>
      <c r="C6" s="29" t="n">
        <v>7.5</v>
      </c>
      <c r="D6" s="31" t="n">
        <f aca="false">C6/('BOM Baseline'!F20)</f>
        <v>0.0592768227622999</v>
      </c>
      <c r="E6" s="31" t="n">
        <f aca="false">E5+D6</f>
        <v>0.774550484094053</v>
      </c>
      <c r="F6" s="38" t="s">
        <v>107</v>
      </c>
    </row>
    <row r="7" customFormat="false" ht="18" hidden="false" customHeight="true" outlineLevel="0" collapsed="false">
      <c r="A7" s="20" t="n">
        <v>5</v>
      </c>
      <c r="B7" s="21" t="s">
        <v>52</v>
      </c>
      <c r="C7" s="23" t="n">
        <v>3.5</v>
      </c>
      <c r="D7" s="25" t="n">
        <f aca="false">C7/('BOM Baseline'!F20)</f>
        <v>0.0276625172890733</v>
      </c>
      <c r="E7" s="25" t="n">
        <f aca="false">E6+D7</f>
        <v>0.802213001383126</v>
      </c>
      <c r="F7" s="39" t="s">
        <v>108</v>
      </c>
    </row>
    <row r="8" customFormat="false" ht="18" hidden="false" customHeight="true" outlineLevel="0" collapsed="false">
      <c r="A8" s="26" t="n">
        <v>6</v>
      </c>
      <c r="B8" s="27" t="s">
        <v>71</v>
      </c>
      <c r="C8" s="29" t="n">
        <v>3</v>
      </c>
      <c r="D8" s="31" t="n">
        <f aca="false">C8/('BOM Baseline'!F20)</f>
        <v>0.02371072910492</v>
      </c>
      <c r="E8" s="31" t="n">
        <f aca="false">E7+D8</f>
        <v>0.825923730488046</v>
      </c>
      <c r="F8" s="39" t="s">
        <v>108</v>
      </c>
    </row>
    <row r="9" customFormat="false" ht="18" hidden="false" customHeight="true" outlineLevel="0" collapsed="false">
      <c r="A9" s="20" t="n">
        <v>7</v>
      </c>
      <c r="B9" s="21" t="s">
        <v>81</v>
      </c>
      <c r="C9" s="23" t="n">
        <v>0</v>
      </c>
      <c r="D9" s="25" t="n">
        <f aca="false">C9/('BOM Baseline'!F20)</f>
        <v>0</v>
      </c>
      <c r="E9" s="25" t="n">
        <f aca="false">E8+D9</f>
        <v>0.825923730488046</v>
      </c>
      <c r="F9" s="39" t="s">
        <v>108</v>
      </c>
    </row>
    <row r="10" customFormat="false" ht="18" hidden="false" customHeight="true" outlineLevel="0" collapsed="false">
      <c r="A10" s="26" t="n">
        <v>8</v>
      </c>
      <c r="B10" s="27" t="s">
        <v>97</v>
      </c>
      <c r="C10" s="29" t="n">
        <v>0</v>
      </c>
      <c r="D10" s="31" t="n">
        <f aca="false">C10/('BOM Baseline'!F20)</f>
        <v>0</v>
      </c>
      <c r="E10" s="31" t="n">
        <f aca="false">E9+D10</f>
        <v>0.825923730488046</v>
      </c>
      <c r="F10" s="40" t="s">
        <v>109</v>
      </c>
    </row>
    <row r="11" customFormat="false" ht="21.75" hidden="false" customHeight="true" outlineLevel="0" collapsed="false">
      <c r="A11" s="33" t="s">
        <v>110</v>
      </c>
      <c r="B11" s="33"/>
      <c r="C11" s="34" t="n">
        <f aca="false">SUM(C3:C10)</f>
        <v>104.5</v>
      </c>
      <c r="D11" s="35" t="n">
        <f aca="false">SUM(D3:D10)</f>
        <v>0.825923730488046</v>
      </c>
    </row>
  </sheetData>
  <mergeCells count="2">
    <mergeCell ref="A1:F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6" min="4" style="1" width="13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22"/>
  </cols>
  <sheetData>
    <row r="1" customFormat="false" ht="30" hidden="false" customHeight="true" outlineLevel="0" collapsed="false">
      <c r="A1" s="41" t="s">
        <v>111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30" hidden="false" customHeight="true" outlineLevel="0" collapsed="false">
      <c r="A2" s="19" t="s">
        <v>38</v>
      </c>
      <c r="B2" s="19" t="s">
        <v>112</v>
      </c>
      <c r="C2" s="19" t="s">
        <v>113</v>
      </c>
      <c r="D2" s="19" t="s">
        <v>114</v>
      </c>
      <c r="E2" s="19" t="s">
        <v>115</v>
      </c>
      <c r="F2" s="19" t="s">
        <v>116</v>
      </c>
      <c r="G2" s="19" t="s">
        <v>117</v>
      </c>
      <c r="H2" s="19" t="s">
        <v>118</v>
      </c>
      <c r="I2" s="19" t="s">
        <v>119</v>
      </c>
      <c r="J2" s="19" t="s">
        <v>120</v>
      </c>
    </row>
    <row r="3" customFormat="false" ht="42" hidden="false" customHeight="true" outlineLevel="0" collapsed="false">
      <c r="A3" s="20" t="n">
        <v>1</v>
      </c>
      <c r="B3" s="21" t="s">
        <v>47</v>
      </c>
      <c r="C3" s="21" t="s">
        <v>121</v>
      </c>
      <c r="D3" s="23" t="n">
        <v>25</v>
      </c>
      <c r="E3" s="23" t="n">
        <v>6.5</v>
      </c>
      <c r="F3" s="42" t="n">
        <f aca="false">D3-E3</f>
        <v>18.5</v>
      </c>
      <c r="G3" s="43" t="n">
        <f aca="false">IF(D3=0,0,(D3-E3)/D3)</f>
        <v>0.74</v>
      </c>
      <c r="H3" s="39" t="s">
        <v>122</v>
      </c>
      <c r="I3" s="39" t="s">
        <v>123</v>
      </c>
      <c r="J3" s="21" t="s">
        <v>124</v>
      </c>
    </row>
    <row r="4" customFormat="false" ht="42" hidden="false" customHeight="true" outlineLevel="0" collapsed="false">
      <c r="A4" s="26" t="n">
        <v>2</v>
      </c>
      <c r="B4" s="27" t="s">
        <v>125</v>
      </c>
      <c r="C4" s="27" t="s">
        <v>126</v>
      </c>
      <c r="D4" s="29" t="n">
        <v>3.5</v>
      </c>
      <c r="E4" s="29" t="n">
        <v>2.2</v>
      </c>
      <c r="F4" s="42" t="n">
        <f aca="false">D4-E4</f>
        <v>1.3</v>
      </c>
      <c r="G4" s="43" t="n">
        <f aca="false">IF(D4=0,0,(D4-E4)/D4)</f>
        <v>0.371428571428571</v>
      </c>
      <c r="H4" s="39" t="s">
        <v>127</v>
      </c>
      <c r="I4" s="39" t="s">
        <v>123</v>
      </c>
      <c r="J4" s="27" t="s">
        <v>128</v>
      </c>
    </row>
    <row r="5" customFormat="false" ht="42" hidden="false" customHeight="true" outlineLevel="0" collapsed="false">
      <c r="A5" s="20" t="n">
        <v>3</v>
      </c>
      <c r="B5" s="21" t="s">
        <v>129</v>
      </c>
      <c r="C5" s="21" t="s">
        <v>130</v>
      </c>
      <c r="D5" s="23" t="n">
        <v>8</v>
      </c>
      <c r="E5" s="23" t="n">
        <v>2.5</v>
      </c>
      <c r="F5" s="42" t="n">
        <f aca="false">D5-E5</f>
        <v>5.5</v>
      </c>
      <c r="G5" s="43" t="n">
        <f aca="false">IF(D5=0,0,(D5-E5)/D5)</f>
        <v>0.6875</v>
      </c>
      <c r="H5" s="44" t="s">
        <v>131</v>
      </c>
      <c r="I5" s="39" t="s">
        <v>123</v>
      </c>
      <c r="J5" s="21" t="s">
        <v>132</v>
      </c>
    </row>
    <row r="6" customFormat="false" ht="42" hidden="false" customHeight="true" outlineLevel="0" collapsed="false">
      <c r="A6" s="26" t="n">
        <v>4</v>
      </c>
      <c r="B6" s="27" t="s">
        <v>133</v>
      </c>
      <c r="C6" s="27" t="s">
        <v>134</v>
      </c>
      <c r="D6" s="29" t="n">
        <v>4.5</v>
      </c>
      <c r="E6" s="29" t="n">
        <v>2.8</v>
      </c>
      <c r="F6" s="42" t="n">
        <f aca="false">D6-E6</f>
        <v>1.7</v>
      </c>
      <c r="G6" s="43" t="n">
        <f aca="false">IF(D6=0,0,(D6-E6)/D6)</f>
        <v>0.377777777777778</v>
      </c>
      <c r="H6" s="39" t="s">
        <v>135</v>
      </c>
      <c r="I6" s="39" t="s">
        <v>123</v>
      </c>
      <c r="J6" s="27" t="s">
        <v>136</v>
      </c>
    </row>
    <row r="7" customFormat="false" ht="42" hidden="false" customHeight="true" outlineLevel="0" collapsed="false">
      <c r="A7" s="20" t="n">
        <v>5</v>
      </c>
      <c r="B7" s="21" t="s">
        <v>137</v>
      </c>
      <c r="C7" s="21" t="s">
        <v>138</v>
      </c>
      <c r="D7" s="23" t="n">
        <v>24</v>
      </c>
      <c r="E7" s="23" t="n">
        <v>12</v>
      </c>
      <c r="F7" s="42" t="n">
        <f aca="false">D7-E7</f>
        <v>12</v>
      </c>
      <c r="G7" s="43" t="n">
        <f aca="false">IF(D7=0,0,(D7-E7)/D7)</f>
        <v>0.5</v>
      </c>
      <c r="H7" s="38" t="s">
        <v>139</v>
      </c>
      <c r="I7" s="38" t="s">
        <v>140</v>
      </c>
      <c r="J7" s="21" t="s">
        <v>141</v>
      </c>
    </row>
    <row r="8" customFormat="false" ht="42" hidden="false" customHeight="true" outlineLevel="0" collapsed="false">
      <c r="A8" s="26" t="n">
        <v>6</v>
      </c>
      <c r="B8" s="27" t="s">
        <v>142</v>
      </c>
      <c r="C8" s="27" t="s">
        <v>143</v>
      </c>
      <c r="D8" s="29" t="n">
        <v>32</v>
      </c>
      <c r="E8" s="29" t="n">
        <v>8</v>
      </c>
      <c r="F8" s="42" t="n">
        <f aca="false">D8-E8</f>
        <v>24</v>
      </c>
      <c r="G8" s="43" t="n">
        <f aca="false">IF(D8=0,0,(D8-E8)/D8)</f>
        <v>0.75</v>
      </c>
      <c r="H8" s="39" t="s">
        <v>144</v>
      </c>
      <c r="I8" s="39" t="s">
        <v>123</v>
      </c>
      <c r="J8" s="27" t="s">
        <v>145</v>
      </c>
    </row>
    <row r="9" customFormat="false" ht="42" hidden="false" customHeight="true" outlineLevel="0" collapsed="false">
      <c r="A9" s="20" t="n">
        <v>7</v>
      </c>
      <c r="B9" s="21" t="s">
        <v>146</v>
      </c>
      <c r="C9" s="21" t="s">
        <v>147</v>
      </c>
      <c r="D9" s="23" t="n">
        <v>16</v>
      </c>
      <c r="E9" s="23" t="n">
        <v>4</v>
      </c>
      <c r="F9" s="42" t="n">
        <f aca="false">D9-E9</f>
        <v>12</v>
      </c>
      <c r="G9" s="43" t="n">
        <f aca="false">IF(D9=0,0,(D9-E9)/D9)</f>
        <v>0.75</v>
      </c>
      <c r="H9" s="39" t="s">
        <v>148</v>
      </c>
      <c r="I9" s="39" t="s">
        <v>123</v>
      </c>
      <c r="J9" s="21" t="s">
        <v>149</v>
      </c>
    </row>
    <row r="10" customFormat="false" ht="42" hidden="false" customHeight="true" outlineLevel="0" collapsed="false">
      <c r="A10" s="26" t="n">
        <v>8</v>
      </c>
      <c r="B10" s="27" t="s">
        <v>150</v>
      </c>
      <c r="C10" s="27" t="s">
        <v>151</v>
      </c>
      <c r="D10" s="29" t="n">
        <v>3</v>
      </c>
      <c r="E10" s="29" t="n">
        <v>1.2</v>
      </c>
      <c r="F10" s="42" t="n">
        <f aca="false">D10-E10</f>
        <v>1.8</v>
      </c>
      <c r="G10" s="43" t="n">
        <f aca="false">IF(D10=0,0,(D10-E10)/D10)</f>
        <v>0.6</v>
      </c>
      <c r="H10" s="39" t="s">
        <v>152</v>
      </c>
      <c r="I10" s="38" t="s">
        <v>140</v>
      </c>
      <c r="J10" s="27" t="s">
        <v>153</v>
      </c>
    </row>
    <row r="11" customFormat="false" ht="42" hidden="false" customHeight="true" outlineLevel="0" collapsed="false">
      <c r="A11" s="20" t="n">
        <v>9</v>
      </c>
      <c r="B11" s="21" t="s">
        <v>154</v>
      </c>
      <c r="C11" s="21" t="s">
        <v>155</v>
      </c>
      <c r="D11" s="23" t="n">
        <v>0</v>
      </c>
      <c r="E11" s="23" t="n">
        <v>0</v>
      </c>
      <c r="F11" s="42" t="n">
        <f aca="false">D11-E11</f>
        <v>0</v>
      </c>
      <c r="G11" s="43" t="n">
        <f aca="false">IF(D11=0,0,(D11-E11)/D11)</f>
        <v>0</v>
      </c>
      <c r="H11" s="39" t="s">
        <v>156</v>
      </c>
      <c r="I11" s="39" t="s">
        <v>123</v>
      </c>
      <c r="J11" s="21" t="s">
        <v>157</v>
      </c>
    </row>
    <row r="12" customFormat="false" ht="24" hidden="false" customHeight="true" outlineLevel="0" collapsed="false">
      <c r="A12" s="33" t="s">
        <v>158</v>
      </c>
      <c r="B12" s="33"/>
      <c r="C12" s="33"/>
      <c r="D12" s="34" t="n">
        <f aca="false">SUM(D3:D11)</f>
        <v>116</v>
      </c>
      <c r="E12" s="34" t="n">
        <f aca="false">SUM(E3:E11)</f>
        <v>39.2</v>
      </c>
      <c r="F12" s="45" t="n">
        <f aca="false">SUM(F3:F11)</f>
        <v>76.8</v>
      </c>
      <c r="G12" s="46" t="n">
        <f aca="false">IF(D12=0,0,F12/D12)</f>
        <v>0.662068965517241</v>
      </c>
    </row>
  </sheetData>
  <mergeCells count="2">
    <mergeCell ref="A1:J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6"/>
    <col collapsed="false" customWidth="true" hidden="false" outlineLevel="0" max="7" min="7" style="1" width="20"/>
  </cols>
  <sheetData>
    <row r="1" customFormat="false" ht="27.75" hidden="false" customHeight="true" outlineLevel="0" collapsed="false">
      <c r="A1" s="41" t="s">
        <v>159</v>
      </c>
      <c r="B1" s="41"/>
      <c r="C1" s="41"/>
      <c r="D1" s="41"/>
      <c r="E1" s="41"/>
      <c r="F1" s="41"/>
      <c r="G1" s="41"/>
    </row>
    <row r="2" customFormat="false" ht="27.75" hidden="false" customHeight="true" outlineLevel="0" collapsed="false">
      <c r="B2" s="47" t="s">
        <v>160</v>
      </c>
      <c r="C2" s="48" t="s">
        <v>161</v>
      </c>
      <c r="D2" s="49" t="s">
        <v>162</v>
      </c>
      <c r="E2" s="50" t="s">
        <v>163</v>
      </c>
      <c r="F2" s="50" t="s">
        <v>164</v>
      </c>
      <c r="G2" s="50" t="s">
        <v>165</v>
      </c>
      <c r="H2" s="19" t="s">
        <v>46</v>
      </c>
    </row>
    <row r="3" customFormat="false" ht="18" hidden="false" customHeight="true" outlineLevel="0" collapsed="false">
      <c r="B3" s="21" t="s">
        <v>166</v>
      </c>
      <c r="C3" s="23" t="n">
        <v>25</v>
      </c>
      <c r="D3" s="23" t="n">
        <v>6.5</v>
      </c>
      <c r="E3" s="23" t="n">
        <v>4.5</v>
      </c>
      <c r="F3" s="51" t="n">
        <f aca="false">C3-D3</f>
        <v>18.5</v>
      </c>
      <c r="G3" s="51" t="n">
        <f aca="false">C3-E3</f>
        <v>20.5</v>
      </c>
      <c r="H3" s="21" t="s">
        <v>167</v>
      </c>
    </row>
    <row r="4" customFormat="false" ht="18" hidden="false" customHeight="true" outlineLevel="0" collapsed="false">
      <c r="B4" s="27" t="s">
        <v>52</v>
      </c>
      <c r="C4" s="29" t="n">
        <v>3.5</v>
      </c>
      <c r="D4" s="29" t="n">
        <v>2.2</v>
      </c>
      <c r="E4" s="29" t="n">
        <v>1.8</v>
      </c>
      <c r="F4" s="51" t="n">
        <f aca="false">C4-D4</f>
        <v>1.3</v>
      </c>
      <c r="G4" s="51" t="n">
        <f aca="false">C4-E4</f>
        <v>1.7</v>
      </c>
      <c r="H4" s="27" t="s">
        <v>168</v>
      </c>
    </row>
    <row r="5" customFormat="false" ht="18" hidden="false" customHeight="true" outlineLevel="0" collapsed="false">
      <c r="B5" s="21" t="s">
        <v>56</v>
      </c>
      <c r="C5" s="23" t="n">
        <v>0</v>
      </c>
      <c r="D5" s="23" t="n">
        <v>0</v>
      </c>
      <c r="E5" s="23" t="n">
        <v>0</v>
      </c>
      <c r="F5" s="51" t="n">
        <f aca="false">C5-D5</f>
        <v>0</v>
      </c>
      <c r="G5" s="51" t="n">
        <f aca="false">C5-E5</f>
        <v>0</v>
      </c>
      <c r="H5" s="21" t="s">
        <v>169</v>
      </c>
    </row>
    <row r="6" customFormat="false" ht="18" hidden="false" customHeight="true" outlineLevel="0" collapsed="false">
      <c r="B6" s="27" t="s">
        <v>170</v>
      </c>
      <c r="C6" s="29" t="n">
        <v>2</v>
      </c>
      <c r="D6" s="29" t="n">
        <v>2</v>
      </c>
      <c r="E6" s="29" t="n">
        <v>0.8</v>
      </c>
      <c r="F6" s="51" t="n">
        <f aca="false">C6-D6</f>
        <v>0</v>
      </c>
      <c r="G6" s="51" t="n">
        <f aca="false">C6-E6</f>
        <v>1.2</v>
      </c>
      <c r="H6" s="27" t="s">
        <v>171</v>
      </c>
    </row>
    <row r="7" customFormat="false" ht="18" hidden="false" customHeight="true" outlineLevel="0" collapsed="false">
      <c r="B7" s="21" t="s">
        <v>172</v>
      </c>
      <c r="C7" s="23" t="n">
        <v>8</v>
      </c>
      <c r="D7" s="23" t="n">
        <v>2.5</v>
      </c>
      <c r="E7" s="23" t="n">
        <v>1.5</v>
      </c>
      <c r="F7" s="51" t="n">
        <f aca="false">C7-D7</f>
        <v>5.5</v>
      </c>
      <c r="G7" s="51" t="n">
        <f aca="false">C7-E7</f>
        <v>6.5</v>
      </c>
      <c r="H7" s="21" t="s">
        <v>173</v>
      </c>
    </row>
    <row r="8" customFormat="false" ht="18" hidden="false" customHeight="true" outlineLevel="0" collapsed="false">
      <c r="B8" s="27" t="s">
        <v>174</v>
      </c>
      <c r="C8" s="29" t="n">
        <v>1.5</v>
      </c>
      <c r="D8" s="29" t="n">
        <v>1.5</v>
      </c>
      <c r="E8" s="29" t="n">
        <v>0.5</v>
      </c>
      <c r="F8" s="51" t="n">
        <f aca="false">C8-D8</f>
        <v>0</v>
      </c>
      <c r="G8" s="51" t="n">
        <f aca="false">C8-E8</f>
        <v>1</v>
      </c>
      <c r="H8" s="27" t="s">
        <v>175</v>
      </c>
    </row>
    <row r="9" customFormat="false" ht="18" hidden="false" customHeight="true" outlineLevel="0" collapsed="false">
      <c r="B9" s="21" t="s">
        <v>176</v>
      </c>
      <c r="C9" s="23" t="n">
        <v>1.2</v>
      </c>
      <c r="D9" s="23" t="n">
        <v>0</v>
      </c>
      <c r="E9" s="23" t="n">
        <v>0</v>
      </c>
      <c r="F9" s="51" t="n">
        <f aca="false">C9-D9</f>
        <v>1.2</v>
      </c>
      <c r="G9" s="51" t="n">
        <f aca="false">C9-E9</f>
        <v>1.2</v>
      </c>
      <c r="H9" s="21" t="s">
        <v>177</v>
      </c>
    </row>
    <row r="10" customFormat="false" ht="18" hidden="false" customHeight="true" outlineLevel="0" collapsed="false">
      <c r="B10" s="27" t="s">
        <v>178</v>
      </c>
      <c r="C10" s="29" t="n">
        <v>1.8</v>
      </c>
      <c r="D10" s="29" t="n">
        <v>0</v>
      </c>
      <c r="E10" s="29" t="n">
        <v>0</v>
      </c>
      <c r="F10" s="51" t="n">
        <f aca="false">C10-D10</f>
        <v>1.8</v>
      </c>
      <c r="G10" s="51" t="n">
        <f aca="false">C10-E10</f>
        <v>1.8</v>
      </c>
      <c r="H10" s="27" t="s">
        <v>177</v>
      </c>
    </row>
    <row r="11" customFormat="false" ht="18" hidden="false" customHeight="true" outlineLevel="0" collapsed="false">
      <c r="B11" s="21" t="s">
        <v>179</v>
      </c>
      <c r="C11" s="23" t="n">
        <v>4.5</v>
      </c>
      <c r="D11" s="23" t="n">
        <v>2.8</v>
      </c>
      <c r="E11" s="23" t="n">
        <v>1.2</v>
      </c>
      <c r="F11" s="51" t="n">
        <f aca="false">C11-D11</f>
        <v>1.7</v>
      </c>
      <c r="G11" s="51" t="n">
        <f aca="false">C11-E11</f>
        <v>3.3</v>
      </c>
      <c r="H11" s="21" t="s">
        <v>180</v>
      </c>
    </row>
    <row r="12" customFormat="false" ht="18" hidden="false" customHeight="true" outlineLevel="0" collapsed="false">
      <c r="B12" s="27" t="s">
        <v>181</v>
      </c>
      <c r="C12" s="29" t="n">
        <v>1</v>
      </c>
      <c r="D12" s="29" t="n">
        <v>1</v>
      </c>
      <c r="E12" s="29" t="n">
        <v>0.5</v>
      </c>
      <c r="F12" s="51" t="n">
        <f aca="false">C12-D12</f>
        <v>0</v>
      </c>
      <c r="G12" s="51" t="n">
        <f aca="false">C12-E12</f>
        <v>0.5</v>
      </c>
      <c r="H12" s="27" t="s">
        <v>182</v>
      </c>
    </row>
    <row r="13" customFormat="false" ht="18" hidden="false" customHeight="true" outlineLevel="0" collapsed="false">
      <c r="B13" s="21" t="s">
        <v>183</v>
      </c>
      <c r="C13" s="23" t="n">
        <v>0</v>
      </c>
      <c r="D13" s="23" t="n">
        <v>2</v>
      </c>
      <c r="E13" s="23" t="n">
        <v>1.2</v>
      </c>
      <c r="F13" s="51" t="n">
        <f aca="false">C13-D13</f>
        <v>-2</v>
      </c>
      <c r="G13" s="51" t="n">
        <f aca="false">C13-E13</f>
        <v>-1.2</v>
      </c>
      <c r="H13" s="21" t="s">
        <v>184</v>
      </c>
    </row>
    <row r="14" customFormat="false" ht="18" hidden="false" customHeight="true" outlineLevel="0" collapsed="false">
      <c r="B14" s="27" t="s">
        <v>185</v>
      </c>
      <c r="C14" s="29" t="n">
        <v>24</v>
      </c>
      <c r="D14" s="29" t="n">
        <v>12</v>
      </c>
      <c r="E14" s="29" t="n">
        <v>6</v>
      </c>
      <c r="F14" s="51" t="n">
        <f aca="false">C14-D14</f>
        <v>12</v>
      </c>
      <c r="G14" s="51" t="n">
        <f aca="false">C14-E14</f>
        <v>18</v>
      </c>
      <c r="H14" s="27" t="s">
        <v>186</v>
      </c>
    </row>
    <row r="15" customFormat="false" ht="18" hidden="false" customHeight="true" outlineLevel="0" collapsed="false">
      <c r="B15" s="21" t="s">
        <v>187</v>
      </c>
      <c r="C15" s="23" t="n">
        <v>32</v>
      </c>
      <c r="D15" s="23" t="n">
        <v>8</v>
      </c>
      <c r="E15" s="23" t="n">
        <v>2</v>
      </c>
      <c r="F15" s="51" t="n">
        <f aca="false">C15-D15</f>
        <v>24</v>
      </c>
      <c r="G15" s="51" t="n">
        <f aca="false">C15-E15</f>
        <v>30</v>
      </c>
      <c r="H15" s="21" t="s">
        <v>188</v>
      </c>
    </row>
    <row r="16" customFormat="false" ht="18" hidden="false" customHeight="true" outlineLevel="0" collapsed="false">
      <c r="B16" s="27" t="s">
        <v>189</v>
      </c>
      <c r="C16" s="29" t="n">
        <v>16</v>
      </c>
      <c r="D16" s="29" t="n">
        <v>4</v>
      </c>
      <c r="E16" s="29" t="n">
        <v>1</v>
      </c>
      <c r="F16" s="51" t="n">
        <f aca="false">C16-D16</f>
        <v>12</v>
      </c>
      <c r="G16" s="51" t="n">
        <f aca="false">C16-E16</f>
        <v>15</v>
      </c>
      <c r="H16" s="27" t="s">
        <v>190</v>
      </c>
    </row>
    <row r="17" customFormat="false" ht="18" hidden="false" customHeight="true" outlineLevel="0" collapsed="false">
      <c r="B17" s="21" t="s">
        <v>97</v>
      </c>
      <c r="C17" s="23" t="n">
        <v>0</v>
      </c>
      <c r="D17" s="23" t="n">
        <v>0</v>
      </c>
      <c r="E17" s="23" t="n">
        <v>0</v>
      </c>
      <c r="F17" s="51" t="n">
        <f aca="false">C17-D17</f>
        <v>0</v>
      </c>
      <c r="G17" s="51" t="n">
        <f aca="false">C17-E17</f>
        <v>0</v>
      </c>
      <c r="H17" s="21" t="s">
        <v>191</v>
      </c>
    </row>
    <row r="18" customFormat="false" ht="19.5" hidden="false" customHeight="true" outlineLevel="0" collapsed="false">
      <c r="B18" s="5" t="s">
        <v>192</v>
      </c>
      <c r="C18" s="52" t="n">
        <f aca="false">SUM(C3:C17)</f>
        <v>120.5</v>
      </c>
      <c r="D18" s="52" t="n">
        <f aca="false">SUM(D3:D17)</f>
        <v>44.5</v>
      </c>
      <c r="E18" s="52" t="n">
        <f aca="false">SUM(E3:E17)</f>
        <v>21</v>
      </c>
      <c r="F18" s="52" t="n">
        <f aca="false">SUM(F3:F17)</f>
        <v>76</v>
      </c>
      <c r="G18" s="52" t="n">
        <f aca="false">SUM(G3:G17)</f>
        <v>99.5</v>
      </c>
    </row>
    <row r="19" customFormat="false" ht="18" hidden="false" customHeight="true" outlineLevel="0" collapsed="false">
      <c r="B19" s="53" t="s">
        <v>193</v>
      </c>
      <c r="C19" s="54" t="n">
        <v>0.05</v>
      </c>
      <c r="D19" s="54" t="n">
        <v>0.03</v>
      </c>
      <c r="E19" s="54" t="n">
        <v>0.02</v>
      </c>
    </row>
    <row r="20" customFormat="false" ht="18" hidden="false" customHeight="true" outlineLevel="0" collapsed="false">
      <c r="B20" s="53" t="s">
        <v>194</v>
      </c>
      <c r="C20" s="32" t="n">
        <f aca="false">C18*C19</f>
        <v>6.025</v>
      </c>
      <c r="D20" s="32" t="n">
        <f aca="false">D18*D19</f>
        <v>1.335</v>
      </c>
      <c r="E20" s="32" t="n">
        <f aca="false">E18*E19</f>
        <v>0.42</v>
      </c>
    </row>
    <row r="21" customFormat="false" ht="24" hidden="false" customHeight="true" outlineLevel="0" collapsed="false">
      <c r="B21" s="55" t="s">
        <v>195</v>
      </c>
      <c r="C21" s="56" t="n">
        <f aca="false">C18+C20</f>
        <v>126.525</v>
      </c>
      <c r="D21" s="56" t="n">
        <f aca="false">D18+D20</f>
        <v>45.835</v>
      </c>
      <c r="E21" s="56" t="n">
        <f aca="false">E18+E20</f>
        <v>21.42</v>
      </c>
      <c r="F21" s="45" t="n">
        <f aca="false">C21-D21</f>
        <v>80.69</v>
      </c>
      <c r="G21" s="45" t="n">
        <f aca="false">C21-E21</f>
        <v>105.105</v>
      </c>
    </row>
    <row r="22" customFormat="false" ht="18" hidden="false" customHeight="true" outlineLevel="0" collapsed="false">
      <c r="B22" s="14" t="s">
        <v>196</v>
      </c>
      <c r="F22" s="43" t="n">
        <f aca="false">F21/C21</f>
        <v>0.637739577158664</v>
      </c>
      <c r="G22" s="43" t="n">
        <f aca="false">G21/C21</f>
        <v>0.830705394190871</v>
      </c>
    </row>
    <row r="25" customFormat="false" ht="15" hidden="false" customHeight="true" outlineLevel="0" collapsed="false">
      <c r="B25" s="7" t="s">
        <v>197</v>
      </c>
      <c r="C25" s="7"/>
      <c r="D25" s="7"/>
      <c r="E25" s="7"/>
      <c r="F25" s="7"/>
      <c r="G25" s="7"/>
      <c r="H25" s="7"/>
    </row>
    <row r="26" customFormat="false" ht="23.25" hidden="false" customHeight="true" outlineLevel="0" collapsed="false">
      <c r="B26" s="19" t="s">
        <v>198</v>
      </c>
      <c r="C26" s="19" t="s">
        <v>42</v>
      </c>
      <c r="D26" s="19" t="s">
        <v>43</v>
      </c>
      <c r="E26" s="19" t="s">
        <v>199</v>
      </c>
    </row>
    <row r="27" customFormat="false" ht="18" hidden="false" customHeight="true" outlineLevel="0" collapsed="false">
      <c r="B27" s="20" t="n">
        <v>1</v>
      </c>
      <c r="C27" s="24" t="n">
        <f aca="false">D21*(1-0)</f>
        <v>45.835</v>
      </c>
      <c r="D27" s="24" t="n">
        <f aca="false">B27*C27</f>
        <v>45.835</v>
      </c>
      <c r="E27" s="57" t="n">
        <f aca="false">1-(C27/D21)</f>
        <v>0</v>
      </c>
    </row>
    <row r="28" customFormat="false" ht="18" hidden="false" customHeight="true" outlineLevel="0" collapsed="false">
      <c r="B28" s="26" t="n">
        <v>5</v>
      </c>
      <c r="C28" s="30" t="n">
        <f aca="false">D21*(1-0.05)</f>
        <v>43.54325</v>
      </c>
      <c r="D28" s="30" t="n">
        <f aca="false">B28*C28</f>
        <v>217.71625</v>
      </c>
      <c r="E28" s="57" t="n">
        <f aca="false">1-(C28/D21)</f>
        <v>0.05</v>
      </c>
    </row>
    <row r="29" customFormat="false" ht="18" hidden="false" customHeight="true" outlineLevel="0" collapsed="false">
      <c r="B29" s="20" t="n">
        <v>10</v>
      </c>
      <c r="C29" s="24" t="n">
        <f aca="false">D21*(1-0.1)</f>
        <v>41.2515</v>
      </c>
      <c r="D29" s="24" t="n">
        <f aca="false">B29*C29</f>
        <v>412.515</v>
      </c>
      <c r="E29" s="43" t="n">
        <f aca="false">1-(C29/D21)</f>
        <v>0.1</v>
      </c>
    </row>
    <row r="30" customFormat="false" ht="18" hidden="false" customHeight="true" outlineLevel="0" collapsed="false">
      <c r="B30" s="26" t="n">
        <v>25</v>
      </c>
      <c r="C30" s="30" t="n">
        <f aca="false">D21*(1-0.15)</f>
        <v>38.95975</v>
      </c>
      <c r="D30" s="30" t="n">
        <f aca="false">B30*C30</f>
        <v>973.99375</v>
      </c>
      <c r="E30" s="43" t="n">
        <f aca="false">1-(C30/D21)</f>
        <v>0.15</v>
      </c>
    </row>
    <row r="31" customFormat="false" ht="18" hidden="false" customHeight="true" outlineLevel="0" collapsed="false">
      <c r="B31" s="20" t="n">
        <v>50</v>
      </c>
      <c r="C31" s="24" t="n">
        <f aca="false">D21*(1-0.18)</f>
        <v>37.5847</v>
      </c>
      <c r="D31" s="24" t="n">
        <f aca="false">B31*C31</f>
        <v>1879.235</v>
      </c>
      <c r="E31" s="43" t="n">
        <f aca="false">1-(C31/D21)</f>
        <v>0.18</v>
      </c>
    </row>
    <row r="32" customFormat="false" ht="18" hidden="false" customHeight="true" outlineLevel="0" collapsed="false">
      <c r="B32" s="26" t="n">
        <v>100</v>
      </c>
      <c r="C32" s="30" t="n">
        <f aca="false">D21*(1-0.22)</f>
        <v>35.7513</v>
      </c>
      <c r="D32" s="30" t="n">
        <f aca="false">B32*C32</f>
        <v>3575.13</v>
      </c>
      <c r="E32" s="43" t="n">
        <f aca="false">1-(C32/D21)</f>
        <v>0.22</v>
      </c>
    </row>
  </sheetData>
  <mergeCells count="2">
    <mergeCell ref="A1:G1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6" min="3" style="1" width="18"/>
    <col collapsed="false" customWidth="true" hidden="false" outlineLevel="0" max="7" min="7" style="1" width="3"/>
  </cols>
  <sheetData>
    <row r="1" customFormat="false" ht="31.5" hidden="false" customHeight="true" outlineLevel="0" collapsed="false">
      <c r="B1" s="58" t="s">
        <v>200</v>
      </c>
      <c r="C1" s="58"/>
      <c r="D1" s="58"/>
      <c r="E1" s="58"/>
      <c r="F1" s="58"/>
    </row>
    <row r="3" customFormat="false" ht="18" hidden="false" customHeight="true" outlineLevel="0" collapsed="false">
      <c r="B3" s="37" t="s">
        <v>201</v>
      </c>
      <c r="C3" s="39" t="s">
        <v>202</v>
      </c>
      <c r="D3" s="39" t="s">
        <v>203</v>
      </c>
      <c r="E3" s="39" t="s">
        <v>117</v>
      </c>
    </row>
    <row r="4" customFormat="false" ht="36" hidden="false" customHeight="true" outlineLevel="0" collapsed="false">
      <c r="B4" s="59" t="n">
        <f aca="false">'BOM Baseline'!F20</f>
        <v>126.525</v>
      </c>
      <c r="C4" s="60" t="n">
        <f aca="false">'Scenario Analysis'!D21</f>
        <v>45.835</v>
      </c>
      <c r="D4" s="60" t="n">
        <f aca="false">'Scenario Analysis'!F21</f>
        <v>80.69</v>
      </c>
      <c r="E4" s="61" t="n">
        <f aca="false">'Scenario Analysis'!F22</f>
        <v>0.637739577158664</v>
      </c>
    </row>
    <row r="6" customFormat="false" ht="15" hidden="false" customHeight="true" outlineLevel="0" collapsed="false">
      <c r="B6" s="7" t="s">
        <v>204</v>
      </c>
      <c r="C6" s="7"/>
      <c r="D6" s="7"/>
      <c r="E6" s="7"/>
      <c r="F6" s="7"/>
    </row>
    <row r="7" customFormat="false" ht="24" hidden="false" customHeight="true" outlineLevel="0" collapsed="false">
      <c r="B7" s="47" t="s">
        <v>205</v>
      </c>
      <c r="C7" s="47" t="s">
        <v>206</v>
      </c>
      <c r="D7" s="47" t="s">
        <v>207</v>
      </c>
      <c r="E7" s="47" t="s">
        <v>208</v>
      </c>
      <c r="F7" s="47" t="s">
        <v>118</v>
      </c>
    </row>
    <row r="8" customFormat="false" ht="21.75" hidden="false" customHeight="true" outlineLevel="0" collapsed="false">
      <c r="B8" s="21" t="s">
        <v>209</v>
      </c>
      <c r="C8" s="23" t="n">
        <v>25</v>
      </c>
      <c r="D8" s="23" t="n">
        <v>6.5</v>
      </c>
      <c r="E8" s="42" t="n">
        <f aca="false">C8-D8</f>
        <v>18.5</v>
      </c>
      <c r="F8" s="39" t="s">
        <v>210</v>
      </c>
    </row>
    <row r="9" customFormat="false" ht="21.75" hidden="false" customHeight="true" outlineLevel="0" collapsed="false">
      <c r="B9" s="27" t="s">
        <v>211</v>
      </c>
      <c r="C9" s="29" t="n">
        <v>32</v>
      </c>
      <c r="D9" s="29" t="n">
        <v>8</v>
      </c>
      <c r="E9" s="42" t="n">
        <f aca="false">C9-D9</f>
        <v>24</v>
      </c>
      <c r="F9" s="39" t="s">
        <v>212</v>
      </c>
    </row>
    <row r="10" customFormat="false" ht="21.75" hidden="false" customHeight="true" outlineLevel="0" collapsed="false">
      <c r="B10" s="21" t="s">
        <v>213</v>
      </c>
      <c r="C10" s="23" t="n">
        <v>16</v>
      </c>
      <c r="D10" s="23" t="n">
        <v>4</v>
      </c>
      <c r="E10" s="42" t="n">
        <f aca="false">C10-D10</f>
        <v>12</v>
      </c>
      <c r="F10" s="39" t="s">
        <v>214</v>
      </c>
    </row>
    <row r="11" customFormat="false" ht="21.75" hidden="false" customHeight="true" outlineLevel="0" collapsed="false">
      <c r="B11" s="27" t="s">
        <v>215</v>
      </c>
      <c r="C11" s="29" t="n">
        <v>3</v>
      </c>
      <c r="D11" s="29" t="n">
        <v>1.2</v>
      </c>
      <c r="E11" s="42" t="n">
        <f aca="false">C11-D11</f>
        <v>1.8</v>
      </c>
      <c r="F11" s="44" t="s">
        <v>216</v>
      </c>
    </row>
    <row r="12" customFormat="false" ht="21.75" hidden="false" customHeight="true" outlineLevel="0" collapsed="false">
      <c r="B12" s="21" t="s">
        <v>217</v>
      </c>
      <c r="C12" s="23" t="n">
        <v>8</v>
      </c>
      <c r="D12" s="23" t="n">
        <v>2.5</v>
      </c>
      <c r="E12" s="42" t="n">
        <f aca="false">C12-D12</f>
        <v>5.5</v>
      </c>
      <c r="F12" s="44" t="s">
        <v>218</v>
      </c>
    </row>
    <row r="13" customFormat="false" ht="21.75" hidden="false" customHeight="true" outlineLevel="0" collapsed="false">
      <c r="B13" s="27" t="s">
        <v>219</v>
      </c>
      <c r="C13" s="29" t="n">
        <v>3.5</v>
      </c>
      <c r="D13" s="29" t="n">
        <v>2.2</v>
      </c>
      <c r="E13" s="42" t="n">
        <f aca="false">C13-D13</f>
        <v>1.3</v>
      </c>
      <c r="F13" s="44" t="s">
        <v>220</v>
      </c>
    </row>
    <row r="14" customFormat="false" ht="21.75" hidden="false" customHeight="true" outlineLevel="0" collapsed="false">
      <c r="B14" s="21" t="s">
        <v>221</v>
      </c>
      <c r="C14" s="23" t="n">
        <v>4.5</v>
      </c>
      <c r="D14" s="23" t="n">
        <v>2.8</v>
      </c>
      <c r="E14" s="42" t="n">
        <f aca="false">C14-D14</f>
        <v>1.7</v>
      </c>
      <c r="F14" s="44" t="s">
        <v>222</v>
      </c>
    </row>
    <row r="15" customFormat="false" ht="15" hidden="false" customHeight="true" outlineLevel="0" collapsed="false">
      <c r="B15" s="33" t="s">
        <v>223</v>
      </c>
      <c r="C15" s="33"/>
      <c r="D15" s="34" t="n">
        <f aca="false">SUM(D8:D14)</f>
        <v>27.2</v>
      </c>
      <c r="E15" s="45" t="n">
        <f aca="false">SUM(E8:E14)</f>
        <v>64.8</v>
      </c>
    </row>
    <row r="17" customFormat="false" ht="15" hidden="false" customHeight="true" outlineLevel="0" collapsed="false">
      <c r="B17" s="11" t="s">
        <v>224</v>
      </c>
      <c r="C17" s="11"/>
      <c r="D17" s="11"/>
      <c r="E17" s="11"/>
      <c r="F17" s="11"/>
    </row>
    <row r="18" customFormat="false" ht="18" hidden="false" customHeight="true" outlineLevel="0" collapsed="false">
      <c r="B18" s="62" t="s">
        <v>225</v>
      </c>
      <c r="C18" s="62"/>
      <c r="D18" s="62"/>
      <c r="E18" s="62"/>
      <c r="F18" s="62"/>
    </row>
    <row r="19" customFormat="false" ht="36" hidden="false" customHeight="true" outlineLevel="0" collapsed="false">
      <c r="B19" s="63" t="s">
        <v>226</v>
      </c>
      <c r="C19" s="63"/>
      <c r="D19" s="63"/>
      <c r="E19" s="63"/>
      <c r="F19" s="63"/>
    </row>
    <row r="20" customFormat="false" ht="18" hidden="false" customHeight="true" outlineLevel="0" collapsed="false">
      <c r="B20" s="62" t="s">
        <v>227</v>
      </c>
      <c r="C20" s="62"/>
      <c r="D20" s="62"/>
      <c r="E20" s="62"/>
      <c r="F20" s="62"/>
    </row>
    <row r="21" customFormat="false" ht="36" hidden="false" customHeight="true" outlineLevel="0" collapsed="false">
      <c r="B21" s="63" t="s">
        <v>228</v>
      </c>
      <c r="C21" s="63"/>
      <c r="D21" s="63"/>
      <c r="E21" s="63"/>
      <c r="F21" s="63"/>
    </row>
    <row r="22" customFormat="false" ht="18" hidden="false" customHeight="true" outlineLevel="0" collapsed="false">
      <c r="B22" s="62" t="s">
        <v>229</v>
      </c>
      <c r="C22" s="62"/>
      <c r="D22" s="62"/>
      <c r="E22" s="62"/>
      <c r="F22" s="62"/>
    </row>
    <row r="23" customFormat="false" ht="36" hidden="false" customHeight="true" outlineLevel="0" collapsed="false">
      <c r="B23" s="63" t="s">
        <v>230</v>
      </c>
      <c r="C23" s="63"/>
      <c r="D23" s="63"/>
      <c r="E23" s="63"/>
      <c r="F23" s="63"/>
    </row>
    <row r="24" customFormat="false" ht="18" hidden="false" customHeight="true" outlineLevel="0" collapsed="false">
      <c r="B24" s="62" t="s">
        <v>231</v>
      </c>
      <c r="C24" s="62"/>
      <c r="D24" s="62"/>
      <c r="E24" s="62"/>
      <c r="F24" s="62"/>
    </row>
    <row r="25" customFormat="false" ht="36" hidden="false" customHeight="true" outlineLevel="0" collapsed="false">
      <c r="B25" s="63" t="s">
        <v>232</v>
      </c>
      <c r="C25" s="63"/>
      <c r="D25" s="63"/>
      <c r="E25" s="63"/>
      <c r="F25" s="63"/>
    </row>
  </sheetData>
  <mergeCells count="12">
    <mergeCell ref="B1:F1"/>
    <mergeCell ref="B6:F6"/>
    <mergeCell ref="B15:C15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2026-03-30T04:24:42Z</dcterms:created>
  <dc:creator>openpyxl</dc:creator>
  <dc:description/>
  <dc:language>en-US</dc:language>
  <cp:lastModifiedBy/>
  <dcterms:modified xsi:type="dcterms:W3CDTF">2026-03-30T04:25:09Z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